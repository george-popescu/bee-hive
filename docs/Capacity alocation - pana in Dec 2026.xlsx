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locări" sheetId="1" r:id="rId4"/>
    <sheet name="Pe persoană" sheetId="2" r:id="rId5"/>
  </sheets>
  <definedNames>
    <definedName name="_xlnm._FilterDatabase" localSheetId="0" hidden="1">'Alocări'!$A$1:$M$66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/>
  </authors>
  <commentList>
    <comment ref="G51" authorId="0">
      <text>
        <r>
          <t xml:space="preserve">======
ID#AAAB_HNPdjA
Microsoft Office User    (2026-07-03 13:06:27)
Posibil nevoie de externalizare</t>
        </r>
      </text>
    </comment>
  </commentList>
</comments>
</file>

<file path=xl/sharedStrings.xml><?xml version="1.0" encoding="utf-8"?>
<sst xmlns="http://schemas.openxmlformats.org/spreadsheetml/2006/main" uniqueCount="60">
  <si>
    <t>Client</t>
  </si>
  <si>
    <t>Proiect</t>
  </si>
  <si>
    <t>Persoană</t>
  </si>
  <si>
    <t>Rol</t>
  </si>
  <si>
    <t>Mai 2026 (h)</t>
  </si>
  <si>
    <t>Iun 2026 (h)</t>
  </si>
  <si>
    <t>Iul 2026 (h)</t>
  </si>
  <si>
    <t>Aug 2026 (h)</t>
  </si>
  <si>
    <t>Sep 2026 (h)</t>
  </si>
  <si>
    <t>Oct 2026 (h)</t>
  </si>
  <si>
    <t>Nov 2026 (h)</t>
  </si>
  <si>
    <t>Dec 2026 (h)</t>
  </si>
  <si>
    <t>Advance</t>
  </si>
  <si>
    <t>Mentenanta</t>
  </si>
  <si>
    <t>Tudor Caraciuc</t>
  </si>
  <si>
    <t>PM</t>
  </si>
  <si>
    <t>BT Leasing</t>
  </si>
  <si>
    <t>BT Leasing - CSP</t>
  </si>
  <si>
    <t>Alex Mateiu</t>
  </si>
  <si>
    <t>Alexandra Negruti</t>
  </si>
  <si>
    <t>FE Dev</t>
  </si>
  <si>
    <t>George Popescu</t>
  </si>
  <si>
    <t>BE Dev</t>
  </si>
  <si>
    <t>Ioana Bolboaca</t>
  </si>
  <si>
    <t>Connect Experiences</t>
  </si>
  <si>
    <t>Dialectica</t>
  </si>
  <si>
    <t>QA</t>
  </si>
  <si>
    <t>Dan Dima</t>
  </si>
  <si>
    <t>BA</t>
  </si>
  <si>
    <t>Mihai Scurtu</t>
  </si>
  <si>
    <t>Extra Dev</t>
  </si>
  <si>
    <t>Dtangle</t>
  </si>
  <si>
    <t>Dtangle SGDL</t>
  </si>
  <si>
    <t>Claudiu Florea</t>
  </si>
  <si>
    <t>Stefan Oprea</t>
  </si>
  <si>
    <t>Ai Engineer</t>
  </si>
  <si>
    <t>Iancu Guda</t>
  </si>
  <si>
    <t>MiM Mentenanta</t>
  </si>
  <si>
    <t>Calin Stefanescu</t>
  </si>
  <si>
    <t>UX/UI</t>
  </si>
  <si>
    <t>Dragoș Burciu</t>
  </si>
  <si>
    <t>MiM DEV</t>
  </si>
  <si>
    <t>Pierina Giusiano</t>
  </si>
  <si>
    <t>Nep Services</t>
  </si>
  <si>
    <t>Nep Services - Mentenanta / Arch</t>
  </si>
  <si>
    <t>Bogdan Duda</t>
  </si>
  <si>
    <t>Architect</t>
  </si>
  <si>
    <t>Osiris</t>
  </si>
  <si>
    <t>La Depozit</t>
  </si>
  <si>
    <t>Simona Burciu</t>
  </si>
  <si>
    <t>La Depozit- locks</t>
  </si>
  <si>
    <t>Promateris</t>
  </si>
  <si>
    <t>QFORT</t>
  </si>
  <si>
    <t>Univers SA</t>
  </si>
  <si>
    <t>Prop Management</t>
  </si>
  <si>
    <t>CSM</t>
  </si>
  <si>
    <t>WEEGOOADS LTD</t>
  </si>
  <si>
    <t>Dinu Taleanu</t>
  </si>
  <si>
    <t>TOTAL</t>
  </si>
  <si>
    <t>Normă (h/lună)</t>
  </si>
</sst>
</file>

<file path=xl/styles.xml><?xml version="1.0" encoding="utf-8"?>
<styleSheet xmlns="http://schemas.openxmlformats.org/spreadsheetml/2006/main">
  <numFmts count="2">
    <numFmt numFmtId="164" formatCode="#,##0.0;\(#,##0.0\);\-"/>
    <numFmt numFmtId="165" formatCode="#,##0.0"/>
  </numFmts>
  <fonts count="5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Calibri"/>
    </font>
    <font>
      <b val="1"/>
      <i val="0"/>
      <strike val="0"/>
      <u val="none"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1C2330"/>
        <bgColor rgb="FF1C2330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2" numFmtId="164" fillId="3" borderId="1" applyFont="1" applyNumberFormat="1" applyFill="1" applyBorder="1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0"/>
    <xf xfId="0" fontId="2" numFmtId="164" fillId="0" borderId="0" applyFont="1" applyNumberFormat="1" applyFill="0" applyBorder="0" applyAlignment="0"/>
    <xf xfId="0" fontId="2" numFmtId="164" fillId="0" borderId="1" applyFont="1" applyNumberFormat="1" applyFill="0" applyBorder="1" applyAlignment="0"/>
    <xf xfId="0" fontId="4" numFmtId="0" fillId="0" borderId="1" applyFont="1" applyNumberFormat="0" applyFill="0" applyBorder="1" applyAlignment="0"/>
    <xf xfId="0" fontId="4" numFmtId="164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Z1002"/>
  <sheetViews>
    <sheetView tabSelected="0" workbookViewId="0" showGridLines="true" showRowColHeaders="1">
      <pane xSplit="4" ySplit="1" activePane="bottomRight" state="frozen" topLeftCell="E2"/>
      <selection pane="bottomRight" activeCell="E2" sqref="E2"/>
    </sheetView>
  </sheetViews>
  <sheetFormatPr customHeight="true" defaultRowHeight="15" defaultColWidth="14.43" outlineLevelRow="0" outlineLevelCol="0"/>
  <cols>
    <col min="1" max="1" width="24.43" customWidth="true" style="0"/>
    <col min="2" max="2" width="26" customWidth="true" style="0"/>
    <col min="3" max="3" width="20" customWidth="true" style="0"/>
    <col min="4" max="4" width="12" customWidth="true" style="0"/>
    <col min="5" max="5" width="12.43" customWidth="true" style="0"/>
    <col min="6" max="6" width="16" customWidth="true" style="0"/>
    <col min="7" max="7" width="14.86" customWidth="true" style="0"/>
    <col min="8" max="8" width="17.71" customWidth="true" style="0"/>
    <col min="9" max="9" width="18.71" customWidth="true" style="0"/>
    <col min="10" max="10" width="18.71" customWidth="true" style="0"/>
    <col min="11" max="11" width="18.71" customWidth="true" style="0"/>
    <col min="12" max="12" width="18.71" customWidth="true" style="0"/>
    <col min="13" max="13" width="11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26">
      <c r="A2" s="2" t="s">
        <v>12</v>
      </c>
      <c r="B2" s="2" t="s">
        <v>13</v>
      </c>
      <c r="C2" s="2" t="s">
        <v>14</v>
      </c>
      <c r="D2" s="2" t="s">
        <v>15</v>
      </c>
      <c r="E2" s="3">
        <v>0.0</v>
      </c>
      <c r="F2" s="3">
        <v>0.0</v>
      </c>
      <c r="G2" s="3">
        <v>3.0</v>
      </c>
      <c r="H2" s="3">
        <v>3.0</v>
      </c>
      <c r="I2" s="3">
        <v>3.0</v>
      </c>
      <c r="J2" s="3">
        <v>3.0</v>
      </c>
      <c r="K2" s="3">
        <v>3.0</v>
      </c>
      <c r="L2" s="3">
        <v>3.0</v>
      </c>
      <c r="M2" s="3">
        <f>SUM(E2:L2)</f>
        <v>18</v>
      </c>
    </row>
    <row r="3" spans="1:26">
      <c r="A3" s="2" t="s">
        <v>16</v>
      </c>
      <c r="B3" s="2" t="s">
        <v>17</v>
      </c>
      <c r="C3" s="2" t="s">
        <v>18</v>
      </c>
      <c r="D3" s="2" t="s">
        <v>15</v>
      </c>
      <c r="E3" s="3">
        <v>0.0</v>
      </c>
      <c r="F3" s="3">
        <v>0.0</v>
      </c>
      <c r="G3" s="3">
        <v>0.0</v>
      </c>
      <c r="H3" s="3">
        <v>20.0</v>
      </c>
      <c r="I3" s="3">
        <v>20.0</v>
      </c>
      <c r="J3" s="3">
        <v>20.0</v>
      </c>
      <c r="K3" s="3">
        <v>20.0</v>
      </c>
      <c r="L3" s="3">
        <v>20.0</v>
      </c>
      <c r="M3" s="3">
        <f>SUM(E3:L3)</f>
        <v>100</v>
      </c>
    </row>
    <row r="4" spans="1:26">
      <c r="A4" s="2" t="s">
        <v>16</v>
      </c>
      <c r="B4" s="2" t="s">
        <v>17</v>
      </c>
      <c r="C4" s="2" t="s">
        <v>19</v>
      </c>
      <c r="D4" s="2" t="s">
        <v>20</v>
      </c>
      <c r="E4" s="3">
        <v>0.0</v>
      </c>
      <c r="F4" s="3">
        <v>0.0</v>
      </c>
      <c r="G4" s="3">
        <v>0.0</v>
      </c>
      <c r="H4" s="3">
        <v>20.0</v>
      </c>
      <c r="I4" s="3">
        <v>20.0</v>
      </c>
      <c r="J4" s="3">
        <v>20.0</v>
      </c>
      <c r="K4" s="3">
        <v>20.0</v>
      </c>
      <c r="L4" s="3">
        <v>20.0</v>
      </c>
      <c r="M4" s="3">
        <f>SUM(E4:L4)</f>
        <v>100</v>
      </c>
    </row>
    <row r="5" spans="1:26">
      <c r="A5" s="2" t="s">
        <v>16</v>
      </c>
      <c r="B5" s="2" t="s">
        <v>17</v>
      </c>
      <c r="C5" s="2" t="s">
        <v>21</v>
      </c>
      <c r="D5" s="2" t="s">
        <v>22</v>
      </c>
      <c r="E5" s="3">
        <v>0.0</v>
      </c>
      <c r="F5" s="3">
        <v>0.0</v>
      </c>
      <c r="G5" s="3">
        <v>0.0</v>
      </c>
      <c r="H5" s="3">
        <v>60.0</v>
      </c>
      <c r="I5" s="3">
        <v>60.0</v>
      </c>
      <c r="J5" s="3">
        <v>60.0</v>
      </c>
      <c r="K5" s="3">
        <v>60.0</v>
      </c>
      <c r="L5" s="3">
        <v>60.0</v>
      </c>
      <c r="M5" s="3">
        <f>SUM(E5:L5)</f>
        <v>300</v>
      </c>
    </row>
    <row r="6" spans="1:26">
      <c r="A6" s="2" t="s">
        <v>16</v>
      </c>
      <c r="B6" s="2" t="s">
        <v>17</v>
      </c>
      <c r="C6" s="2" t="s">
        <v>23</v>
      </c>
      <c r="D6" s="2" t="s">
        <v>15</v>
      </c>
      <c r="E6" s="3">
        <v>0.0</v>
      </c>
      <c r="F6" s="3">
        <v>0.0</v>
      </c>
      <c r="G6" s="3">
        <v>20.0</v>
      </c>
      <c r="H6" s="3">
        <v>20.0</v>
      </c>
      <c r="I6" s="3">
        <v>20.0</v>
      </c>
      <c r="J6" s="3">
        <v>20.0</v>
      </c>
      <c r="K6" s="3">
        <v>20.0</v>
      </c>
      <c r="L6" s="3">
        <v>20.0</v>
      </c>
      <c r="M6" s="3"/>
    </row>
    <row r="7" spans="1:26">
      <c r="A7" s="2" t="s">
        <v>16</v>
      </c>
      <c r="B7" s="2" t="s">
        <v>17</v>
      </c>
      <c r="C7" s="2" t="s">
        <v>14</v>
      </c>
      <c r="D7" s="2" t="s">
        <v>15</v>
      </c>
      <c r="E7" s="3">
        <v>0.0</v>
      </c>
      <c r="F7" s="3">
        <v>0.0</v>
      </c>
      <c r="G7" s="3">
        <v>40.0</v>
      </c>
      <c r="H7" s="3">
        <v>40.0</v>
      </c>
      <c r="I7" s="3">
        <v>40.0</v>
      </c>
      <c r="J7" s="3">
        <v>40.0</v>
      </c>
      <c r="K7" s="3">
        <v>40.0</v>
      </c>
      <c r="L7" s="3">
        <v>40.0</v>
      </c>
      <c r="M7" s="3">
        <f>SUM(E7:L7)</f>
        <v>240</v>
      </c>
    </row>
    <row r="8" spans="1:26">
      <c r="A8" s="2" t="s">
        <v>24</v>
      </c>
      <c r="B8" s="2" t="s">
        <v>13</v>
      </c>
      <c r="C8" s="2" t="s">
        <v>18</v>
      </c>
      <c r="D8" s="2" t="s">
        <v>15</v>
      </c>
      <c r="E8" s="3">
        <v>0.0</v>
      </c>
      <c r="F8" s="3">
        <v>0.0</v>
      </c>
      <c r="G8" s="3">
        <v>3.0</v>
      </c>
      <c r="H8" s="3">
        <v>3.0</v>
      </c>
      <c r="I8" s="3">
        <v>3.0</v>
      </c>
      <c r="J8" s="3">
        <v>3.0</v>
      </c>
      <c r="K8" s="3">
        <v>3.0</v>
      </c>
      <c r="L8" s="3">
        <v>3.0</v>
      </c>
      <c r="M8" s="3">
        <f>SUM(E8:L8)</f>
        <v>18</v>
      </c>
    </row>
    <row r="9" spans="1:26">
      <c r="A9" s="2" t="s">
        <v>24</v>
      </c>
      <c r="B9" s="2" t="s">
        <v>13</v>
      </c>
      <c r="C9" s="2" t="s">
        <v>21</v>
      </c>
      <c r="D9" s="2" t="s">
        <v>22</v>
      </c>
      <c r="E9" s="3">
        <v>0.0</v>
      </c>
      <c r="F9" s="3">
        <v>0.0</v>
      </c>
      <c r="G9" s="3">
        <v>3.0</v>
      </c>
      <c r="H9" s="3">
        <v>3.0</v>
      </c>
      <c r="I9" s="3">
        <v>3.0</v>
      </c>
      <c r="J9" s="3">
        <v>3.0</v>
      </c>
      <c r="K9" s="3">
        <v>3.0</v>
      </c>
      <c r="L9" s="3">
        <v>3.0</v>
      </c>
      <c r="M9" s="3">
        <f>SUM(E9:L9)</f>
        <v>18</v>
      </c>
    </row>
    <row r="10" spans="1:26">
      <c r="A10" s="2" t="s">
        <v>25</v>
      </c>
      <c r="B10" s="2" t="s">
        <v>13</v>
      </c>
      <c r="C10" s="2" t="s">
        <v>18</v>
      </c>
      <c r="D10" s="2" t="s">
        <v>26</v>
      </c>
      <c r="E10" s="3">
        <v>20.7</v>
      </c>
      <c r="F10" s="3">
        <v>20.7</v>
      </c>
      <c r="G10" s="3">
        <v>20.7</v>
      </c>
      <c r="H10" s="3">
        <v>20.7</v>
      </c>
      <c r="I10" s="3">
        <v>20.7</v>
      </c>
      <c r="J10" s="3">
        <v>20.7</v>
      </c>
      <c r="K10" s="3">
        <v>20.7</v>
      </c>
      <c r="L10" s="3">
        <v>20.7</v>
      </c>
      <c r="M10" s="3">
        <f>SUM(E10:L10)</f>
        <v>165.59999999999999</v>
      </c>
    </row>
    <row r="11" spans="1:26">
      <c r="A11" s="2" t="s">
        <v>25</v>
      </c>
      <c r="B11" s="2" t="s">
        <v>13</v>
      </c>
      <c r="C11" s="2" t="s">
        <v>19</v>
      </c>
      <c r="D11" s="2" t="s">
        <v>20</v>
      </c>
      <c r="E11" s="3">
        <v>20.7</v>
      </c>
      <c r="F11" s="3">
        <v>20.7</v>
      </c>
      <c r="G11" s="3">
        <v>20.7</v>
      </c>
      <c r="H11" s="3">
        <v>20.7</v>
      </c>
      <c r="I11" s="3">
        <v>20.7</v>
      </c>
      <c r="J11" s="3">
        <v>20.7</v>
      </c>
      <c r="K11" s="3">
        <v>20.7</v>
      </c>
      <c r="L11" s="3">
        <v>20.7</v>
      </c>
      <c r="M11" s="3">
        <f>SUM(E11:L11)</f>
        <v>165.59999999999999</v>
      </c>
    </row>
    <row r="12" spans="1:26">
      <c r="A12" s="2" t="s">
        <v>25</v>
      </c>
      <c r="B12" s="2" t="s">
        <v>13</v>
      </c>
      <c r="C12" s="2" t="s">
        <v>27</v>
      </c>
      <c r="D12" s="2" t="s">
        <v>15</v>
      </c>
      <c r="E12" s="3">
        <v>13.8</v>
      </c>
      <c r="F12" s="3">
        <v>13.8</v>
      </c>
      <c r="G12" s="3">
        <v>13.8</v>
      </c>
      <c r="H12" s="3">
        <v>13.8</v>
      </c>
      <c r="I12" s="3">
        <v>13.8</v>
      </c>
      <c r="J12" s="3">
        <v>13.8</v>
      </c>
      <c r="K12" s="3">
        <v>13.8</v>
      </c>
      <c r="L12" s="3">
        <v>13.8</v>
      </c>
      <c r="M12" s="3">
        <f>SUM(E12:L12)</f>
        <v>110.39999999999999</v>
      </c>
    </row>
    <row r="13" spans="1:26">
      <c r="A13" s="2" t="s">
        <v>25</v>
      </c>
      <c r="B13" s="2" t="s">
        <v>13</v>
      </c>
      <c r="C13" s="2" t="s">
        <v>27</v>
      </c>
      <c r="D13" s="2" t="s">
        <v>28</v>
      </c>
      <c r="E13" s="3">
        <v>13.8</v>
      </c>
      <c r="F13" s="3">
        <v>13.8</v>
      </c>
      <c r="G13" s="3">
        <v>13.8</v>
      </c>
      <c r="H13" s="3">
        <f>13.8+20.7</f>
        <v>34.5</v>
      </c>
      <c r="I13" s="3">
        <f>13.8+20.7</f>
        <v>34.5</v>
      </c>
      <c r="J13" s="3">
        <f>13.8+20.7</f>
        <v>34.5</v>
      </c>
      <c r="K13" s="3">
        <f>13.8+20.7</f>
        <v>34.5</v>
      </c>
      <c r="L13" s="3">
        <f>13.8+20.7</f>
        <v>34.5</v>
      </c>
      <c r="M13" s="3">
        <f>SUM(E13:L13)</f>
        <v>213.90000000000001</v>
      </c>
    </row>
    <row r="14" spans="1:26">
      <c r="A14" s="2" t="s">
        <v>25</v>
      </c>
      <c r="B14" s="2" t="s">
        <v>13</v>
      </c>
      <c r="C14" s="2" t="s">
        <v>29</v>
      </c>
      <c r="D14" s="2" t="s">
        <v>22</v>
      </c>
      <c r="E14" s="3">
        <v>20.7</v>
      </c>
      <c r="F14" s="3">
        <v>20.7</v>
      </c>
      <c r="G14" s="3">
        <v>20.7</v>
      </c>
      <c r="H14" s="3"/>
      <c r="I14" s="3"/>
      <c r="J14" s="3"/>
      <c r="K14" s="3"/>
      <c r="L14" s="3"/>
      <c r="M14" s="3">
        <f>SUM(E14:L14)</f>
        <v>62.099999999999994</v>
      </c>
    </row>
    <row r="15" spans="1:26">
      <c r="A15" s="2" t="s">
        <v>25</v>
      </c>
      <c r="B15" s="2" t="s">
        <v>13</v>
      </c>
      <c r="C15" s="2" t="s">
        <v>14</v>
      </c>
      <c r="D15" s="2" t="s">
        <v>22</v>
      </c>
      <c r="E15" s="3">
        <v>124.2</v>
      </c>
      <c r="F15" s="3">
        <v>20.7</v>
      </c>
      <c r="G15" s="3">
        <v>20.7</v>
      </c>
      <c r="H15" s="3">
        <v>20.7</v>
      </c>
      <c r="I15" s="3">
        <v>20.7</v>
      </c>
      <c r="J15" s="3">
        <v>20.7</v>
      </c>
      <c r="K15" s="3">
        <v>20.7</v>
      </c>
      <c r="L15" s="3">
        <v>20.7</v>
      </c>
      <c r="M15" s="3">
        <f>SUM(E15:L15)</f>
        <v>269.099999999999966</v>
      </c>
    </row>
    <row r="16" spans="1:26">
      <c r="A16" s="2" t="s">
        <v>25</v>
      </c>
      <c r="B16" s="2" t="s">
        <v>30</v>
      </c>
      <c r="C16" s="2" t="s">
        <v>19</v>
      </c>
      <c r="D16" s="2" t="s">
        <v>20</v>
      </c>
      <c r="E16" s="3"/>
      <c r="F16" s="3"/>
      <c r="G16" s="3">
        <v>20.0</v>
      </c>
      <c r="H16" s="3">
        <v>20.0</v>
      </c>
      <c r="I16" s="3">
        <v>20.0</v>
      </c>
      <c r="J16" s="3">
        <v>20.0</v>
      </c>
      <c r="K16" s="3">
        <v>20.0</v>
      </c>
      <c r="L16" s="3">
        <v>20.0</v>
      </c>
      <c r="M16" s="3">
        <f>SUM(E16:L16)</f>
        <v>120</v>
      </c>
    </row>
    <row r="17" spans="1:26">
      <c r="A17" s="2" t="s">
        <v>25</v>
      </c>
      <c r="B17" s="2" t="s">
        <v>30</v>
      </c>
      <c r="C17" s="2" t="s">
        <v>14</v>
      </c>
      <c r="D17" s="2" t="s">
        <v>15</v>
      </c>
      <c r="E17" s="3"/>
      <c r="F17" s="3"/>
      <c r="G17" s="3">
        <v>50.0</v>
      </c>
      <c r="H17" s="3">
        <v>50.0</v>
      </c>
      <c r="I17" s="3">
        <v>50.0</v>
      </c>
      <c r="J17" s="3">
        <v>50.0</v>
      </c>
      <c r="K17" s="3">
        <v>50.0</v>
      </c>
      <c r="L17" s="3">
        <v>50.0</v>
      </c>
      <c r="M17" s="3">
        <f>SUM(E17:L17)</f>
        <v>300</v>
      </c>
    </row>
    <row r="18" spans="1:26">
      <c r="A18" s="2" t="s">
        <v>25</v>
      </c>
      <c r="B18" s="2" t="s">
        <v>30</v>
      </c>
      <c r="C18" s="2" t="s">
        <v>27</v>
      </c>
      <c r="D18" s="2" t="s">
        <v>22</v>
      </c>
      <c r="E18" s="3"/>
      <c r="F18" s="3"/>
      <c r="G18" s="3">
        <v>50.0</v>
      </c>
      <c r="H18" s="3">
        <v>50.0</v>
      </c>
      <c r="I18" s="3">
        <v>50.0</v>
      </c>
      <c r="J18" s="3">
        <v>50.0</v>
      </c>
      <c r="K18" s="3">
        <v>50.0</v>
      </c>
      <c r="L18" s="3">
        <v>50.0</v>
      </c>
      <c r="M18" s="3">
        <f>SUM(E18:L18)</f>
        <v>300</v>
      </c>
    </row>
    <row r="19" spans="1:26">
      <c r="A19" s="2" t="s">
        <v>31</v>
      </c>
      <c r="B19" s="2" t="s">
        <v>32</v>
      </c>
      <c r="C19" s="2" t="s">
        <v>33</v>
      </c>
      <c r="D19" s="2" t="s">
        <v>22</v>
      </c>
      <c r="E19" s="3">
        <v>40.0</v>
      </c>
      <c r="F19" s="3">
        <v>80.0</v>
      </c>
      <c r="G19" s="3">
        <v>80.0</v>
      </c>
      <c r="H19" s="3">
        <v>8.0</v>
      </c>
      <c r="I19" s="3">
        <v>8.0</v>
      </c>
      <c r="J19" s="3">
        <v>8.0</v>
      </c>
      <c r="K19" s="3">
        <v>8.0</v>
      </c>
      <c r="L19" s="3">
        <v>8.0</v>
      </c>
      <c r="M19" s="3">
        <f>SUM(E19:L19)</f>
        <v>240</v>
      </c>
    </row>
    <row r="20" spans="1:26">
      <c r="A20" s="2" t="s">
        <v>31</v>
      </c>
      <c r="B20" s="2" t="s">
        <v>32</v>
      </c>
      <c r="C20" s="2" t="s">
        <v>27</v>
      </c>
      <c r="D20" s="2" t="s">
        <v>15</v>
      </c>
      <c r="E20" s="3">
        <v>0.0</v>
      </c>
      <c r="F20" s="3">
        <v>0.0</v>
      </c>
      <c r="G20" s="3">
        <v>0.0</v>
      </c>
      <c r="H20" s="3">
        <v>8.0</v>
      </c>
      <c r="I20" s="3">
        <v>8.0</v>
      </c>
      <c r="J20" s="3">
        <v>8.0</v>
      </c>
      <c r="K20" s="3">
        <v>8.0</v>
      </c>
      <c r="L20" s="3">
        <v>8.0</v>
      </c>
      <c r="M20" s="3">
        <f>SUM(E20:L20)</f>
        <v>40</v>
      </c>
    </row>
    <row r="21" spans="1:26" customHeight="1" ht="15.75">
      <c r="A21" s="2" t="s">
        <v>31</v>
      </c>
      <c r="B21" s="2" t="s">
        <v>32</v>
      </c>
      <c r="C21" s="2" t="s">
        <v>34</v>
      </c>
      <c r="D21" s="2" t="s">
        <v>35</v>
      </c>
      <c r="E21" s="3">
        <v>34.5</v>
      </c>
      <c r="F21" s="3">
        <v>69.0</v>
      </c>
      <c r="G21" s="3">
        <v>69.0</v>
      </c>
      <c r="H21" s="3">
        <v>56.0</v>
      </c>
      <c r="I21" s="3">
        <v>28.0</v>
      </c>
      <c r="J21" s="3">
        <v>56.0</v>
      </c>
      <c r="K21" s="3">
        <v>28.0</v>
      </c>
      <c r="L21" s="3">
        <v>56.0</v>
      </c>
      <c r="M21" s="3">
        <f>SUM(E21:L21)</f>
        <v>396.5</v>
      </c>
    </row>
    <row r="22" spans="1:26" customHeight="1" ht="15.75">
      <c r="A22" s="2" t="s">
        <v>36</v>
      </c>
      <c r="B22" s="2" t="s">
        <v>37</v>
      </c>
      <c r="C22" s="2" t="s">
        <v>18</v>
      </c>
      <c r="D22" s="2" t="s">
        <v>15</v>
      </c>
      <c r="E22" s="3">
        <v>0.0</v>
      </c>
      <c r="F22" s="3">
        <v>17.2</v>
      </c>
      <c r="G22" s="3">
        <v>8.0</v>
      </c>
      <c r="H22" s="3">
        <v>8.0</v>
      </c>
      <c r="I22" s="3">
        <v>8.0</v>
      </c>
      <c r="J22" s="3">
        <v>8.0</v>
      </c>
      <c r="K22" s="3">
        <v>8.0</v>
      </c>
      <c r="L22" s="3">
        <v>8.0</v>
      </c>
      <c r="M22" s="3">
        <f>SUM(E22:L22)</f>
        <v>65.2</v>
      </c>
    </row>
    <row r="23" spans="1:26" customHeight="1" ht="15.75">
      <c r="A23" s="2" t="s">
        <v>36</v>
      </c>
      <c r="B23" s="2" t="s">
        <v>37</v>
      </c>
      <c r="C23" s="2" t="s">
        <v>18</v>
      </c>
      <c r="D23" s="2" t="s">
        <v>28</v>
      </c>
      <c r="E23" s="3">
        <v>8.3</v>
      </c>
      <c r="F23" s="3">
        <v>20.7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f>SUM(E23:L23)</f>
        <v>29</v>
      </c>
    </row>
    <row r="24" spans="1:26" customHeight="1" ht="15.75">
      <c r="A24" s="2" t="s">
        <v>36</v>
      </c>
      <c r="B24" s="2" t="s">
        <v>37</v>
      </c>
      <c r="C24" s="2" t="s">
        <v>18</v>
      </c>
      <c r="D24" s="2" t="s">
        <v>26</v>
      </c>
      <c r="E24" s="3">
        <v>13.8</v>
      </c>
      <c r="F24" s="3">
        <v>34.5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f>SUM(E24:L24)</f>
        <v>48.3</v>
      </c>
    </row>
    <row r="25" spans="1:26" customHeight="1" ht="15.75">
      <c r="A25" s="2" t="s">
        <v>36</v>
      </c>
      <c r="B25" s="2" t="s">
        <v>37</v>
      </c>
      <c r="C25" s="2" t="s">
        <v>19</v>
      </c>
      <c r="D25" s="2" t="s">
        <v>20</v>
      </c>
      <c r="E25" s="3">
        <v>34.5</v>
      </c>
      <c r="F25" s="3">
        <v>69.0</v>
      </c>
      <c r="G25" s="3">
        <v>5.0</v>
      </c>
      <c r="H25" s="3">
        <v>5.0</v>
      </c>
      <c r="I25" s="3">
        <v>5.0</v>
      </c>
      <c r="J25" s="3">
        <v>5.0</v>
      </c>
      <c r="K25" s="3">
        <v>5.0</v>
      </c>
      <c r="L25" s="3">
        <v>5.0</v>
      </c>
      <c r="M25" s="3">
        <f>SUM(E25:L25)</f>
        <v>133.5</v>
      </c>
    </row>
    <row r="26" spans="1:26" customHeight="1" ht="15.75">
      <c r="A26" s="2" t="s">
        <v>36</v>
      </c>
      <c r="B26" s="2" t="s">
        <v>37</v>
      </c>
      <c r="C26" s="2" t="s">
        <v>38</v>
      </c>
      <c r="D26" s="2" t="s">
        <v>39</v>
      </c>
      <c r="E26" s="3">
        <v>13.8</v>
      </c>
      <c r="F26" s="3">
        <v>34.5</v>
      </c>
      <c r="G26" s="3">
        <v>16.0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f>SUM(E26:L26)</f>
        <v>64.3</v>
      </c>
    </row>
    <row r="27" spans="1:26" customHeight="1" ht="15.75">
      <c r="A27" s="2" t="s">
        <v>36</v>
      </c>
      <c r="B27" s="2" t="s">
        <v>37</v>
      </c>
      <c r="C27" s="2" t="s">
        <v>40</v>
      </c>
      <c r="D27" s="2" t="s">
        <v>22</v>
      </c>
      <c r="E27" s="3">
        <v>37.3</v>
      </c>
      <c r="F27" s="3">
        <v>51.8</v>
      </c>
      <c r="G27" s="3">
        <v>8.0</v>
      </c>
      <c r="H27" s="3">
        <v>8.0</v>
      </c>
      <c r="I27" s="3">
        <v>8.0</v>
      </c>
      <c r="J27" s="3">
        <v>8.0</v>
      </c>
      <c r="K27" s="3">
        <v>8.0</v>
      </c>
      <c r="L27" s="3">
        <v>8.0</v>
      </c>
      <c r="M27" s="3">
        <f>SUM(E27:L27)</f>
        <v>137.099999999999994</v>
      </c>
    </row>
    <row r="28" spans="1:26" customHeight="1" ht="15.75">
      <c r="A28" s="2" t="s">
        <v>36</v>
      </c>
      <c r="B28" s="2" t="s">
        <v>37</v>
      </c>
      <c r="C28" s="2" t="s">
        <v>21</v>
      </c>
      <c r="D28" s="2" t="s">
        <v>22</v>
      </c>
      <c r="E28" s="3">
        <v>19.3</v>
      </c>
      <c r="F28" s="3">
        <v>48.3</v>
      </c>
      <c r="G28" s="3">
        <v>4.0</v>
      </c>
      <c r="H28" s="3">
        <v>4.0</v>
      </c>
      <c r="I28" s="3">
        <v>4.0</v>
      </c>
      <c r="J28" s="3">
        <v>4.0</v>
      </c>
      <c r="K28" s="3">
        <v>4.0</v>
      </c>
      <c r="L28" s="3">
        <v>4.0</v>
      </c>
      <c r="M28" s="3">
        <f>SUM(E28:L28)</f>
        <v>91.59999999999999</v>
      </c>
    </row>
    <row r="29" spans="1:26" customHeight="1" ht="15.75">
      <c r="A29" s="2" t="s">
        <v>36</v>
      </c>
      <c r="B29" s="2" t="s">
        <v>41</v>
      </c>
      <c r="C29" s="2" t="s">
        <v>18</v>
      </c>
      <c r="D29" s="2" t="s">
        <v>15</v>
      </c>
      <c r="E29" s="3"/>
      <c r="F29" s="3"/>
      <c r="G29" s="3">
        <v>10.0</v>
      </c>
      <c r="H29" s="3">
        <v>10.0</v>
      </c>
      <c r="I29" s="3">
        <v>10.0</v>
      </c>
      <c r="J29" s="3"/>
      <c r="K29" s="3"/>
      <c r="L29" s="3"/>
      <c r="M29" s="3">
        <f>SUM(E29:L29)</f>
        <v>30</v>
      </c>
    </row>
    <row r="30" spans="1:26" customHeight="1" ht="15.75">
      <c r="A30" s="2" t="s">
        <v>36</v>
      </c>
      <c r="B30" s="2" t="s">
        <v>41</v>
      </c>
      <c r="C30" s="2" t="s">
        <v>18</v>
      </c>
      <c r="D30" s="2" t="s">
        <v>26</v>
      </c>
      <c r="E30" s="3"/>
      <c r="F30" s="3"/>
      <c r="G30" s="3">
        <v>20.0</v>
      </c>
      <c r="H30" s="3">
        <v>20.0</v>
      </c>
      <c r="I30" s="3">
        <v>20.0</v>
      </c>
      <c r="J30" s="3"/>
      <c r="K30" s="3"/>
      <c r="L30" s="3"/>
      <c r="M30" s="3">
        <f>SUM(E30:L30)</f>
        <v>60</v>
      </c>
    </row>
    <row r="31" spans="1:26" customHeight="1" ht="15.75">
      <c r="A31" s="2" t="s">
        <v>36</v>
      </c>
      <c r="B31" s="2" t="s">
        <v>41</v>
      </c>
      <c r="C31" s="2" t="s">
        <v>21</v>
      </c>
      <c r="D31" s="2" t="s">
        <v>22</v>
      </c>
      <c r="E31" s="3"/>
      <c r="F31" s="3"/>
      <c r="G31" s="3">
        <v>96.0</v>
      </c>
      <c r="H31" s="3">
        <v>49.0</v>
      </c>
      <c r="I31" s="3">
        <v>96.0</v>
      </c>
      <c r="J31" s="3"/>
      <c r="K31" s="3"/>
      <c r="L31" s="3"/>
      <c r="M31" s="3">
        <f>SUM(E31:L31)</f>
        <v>241</v>
      </c>
    </row>
    <row r="32" spans="1:26" customHeight="1" ht="15.75">
      <c r="A32" s="2" t="s">
        <v>36</v>
      </c>
      <c r="B32" s="2" t="s">
        <v>41</v>
      </c>
      <c r="C32" s="2" t="s">
        <v>42</v>
      </c>
      <c r="D32" s="2" t="s">
        <v>20</v>
      </c>
      <c r="E32" s="3">
        <v>0.0</v>
      </c>
      <c r="F32" s="3">
        <v>51.8</v>
      </c>
      <c r="G32" s="3">
        <v>30.0</v>
      </c>
      <c r="H32" s="3">
        <v>30.0</v>
      </c>
      <c r="I32" s="3">
        <v>30.0</v>
      </c>
      <c r="J32" s="3">
        <v>29.0</v>
      </c>
      <c r="K32" s="3"/>
      <c r="L32" s="3"/>
      <c r="M32" s="3">
        <f>SUM(E32:L32)</f>
        <v>170.80000000000001</v>
      </c>
    </row>
    <row r="33" spans="1:26" customHeight="1" ht="15.75">
      <c r="A33" s="2" t="s">
        <v>36</v>
      </c>
      <c r="B33" s="2" t="s">
        <v>41</v>
      </c>
      <c r="C33" s="2" t="s">
        <v>40</v>
      </c>
      <c r="D33" s="2" t="s">
        <v>22</v>
      </c>
      <c r="E33" s="3"/>
      <c r="F33" s="3"/>
      <c r="G33" s="3">
        <v>6.0</v>
      </c>
      <c r="H33" s="3">
        <v>6.0</v>
      </c>
      <c r="I33" s="3">
        <v>6.0</v>
      </c>
      <c r="J33" s="3"/>
      <c r="K33" s="3"/>
      <c r="L33" s="3"/>
      <c r="M33" s="3">
        <f>SUM(E33:L33)</f>
        <v>18</v>
      </c>
    </row>
    <row r="34" spans="1:26" customHeight="1" ht="15.75">
      <c r="A34" s="2" t="s">
        <v>36</v>
      </c>
      <c r="B34" s="2" t="s">
        <v>41</v>
      </c>
      <c r="C34" s="2" t="s">
        <v>42</v>
      </c>
      <c r="D34" s="2" t="s">
        <v>26</v>
      </c>
      <c r="E34" s="3">
        <v>13.8</v>
      </c>
      <c r="F34" s="3">
        <v>34.5</v>
      </c>
      <c r="G34" s="3"/>
      <c r="H34" s="3"/>
      <c r="I34" s="3"/>
      <c r="J34" s="3"/>
      <c r="K34" s="3"/>
      <c r="L34" s="3"/>
      <c r="M34" s="3">
        <f>SUM(E34:L34)</f>
        <v>48.3</v>
      </c>
    </row>
    <row r="35" spans="1:26" customHeight="1" ht="15.75">
      <c r="A35" s="2" t="s">
        <v>43</v>
      </c>
      <c r="B35" s="2" t="s">
        <v>44</v>
      </c>
      <c r="C35" s="2" t="s">
        <v>45</v>
      </c>
      <c r="D35" s="2" t="s">
        <v>46</v>
      </c>
      <c r="E35" s="3">
        <v>8.8</v>
      </c>
      <c r="F35" s="3">
        <v>0.0</v>
      </c>
      <c r="G35" s="3">
        <v>8.0</v>
      </c>
      <c r="H35" s="3">
        <v>8.0</v>
      </c>
      <c r="I35" s="3">
        <v>8.0</v>
      </c>
      <c r="J35" s="3">
        <v>8.0</v>
      </c>
      <c r="K35" s="3">
        <v>8.0</v>
      </c>
      <c r="L35" s="3">
        <v>8.0</v>
      </c>
      <c r="M35" s="3">
        <f>SUM(E35:L35)</f>
        <v>56.8</v>
      </c>
    </row>
    <row r="36" spans="1:26" customHeight="1" ht="15.75">
      <c r="A36" s="2" t="s">
        <v>47</v>
      </c>
      <c r="B36" s="2" t="s">
        <v>48</v>
      </c>
      <c r="C36" s="2" t="s">
        <v>18</v>
      </c>
      <c r="D36" s="2" t="s">
        <v>26</v>
      </c>
      <c r="E36" s="3">
        <v>26.2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f>SUM(E36:L36)</f>
        <v>26.2</v>
      </c>
    </row>
    <row r="37" spans="1:26" customHeight="1" ht="15.75">
      <c r="A37" s="2" t="s">
        <v>47</v>
      </c>
      <c r="B37" s="2" t="s">
        <v>48</v>
      </c>
      <c r="C37" s="2" t="s">
        <v>40</v>
      </c>
      <c r="D37" s="2" t="s">
        <v>22</v>
      </c>
      <c r="E37" s="3">
        <v>95.2</v>
      </c>
      <c r="F37" s="3">
        <v>75.90000000000001</v>
      </c>
      <c r="G37" s="3">
        <v>100.0</v>
      </c>
      <c r="H37" s="3">
        <v>100.0</v>
      </c>
      <c r="I37" s="3">
        <v>100.0</v>
      </c>
      <c r="J37" s="3">
        <v>100.0</v>
      </c>
      <c r="K37" s="3">
        <v>100.0</v>
      </c>
      <c r="L37" s="3">
        <v>100.0</v>
      </c>
      <c r="M37" s="3">
        <f>SUM(E37:L37)</f>
        <v>771.10000000000002</v>
      </c>
    </row>
    <row r="38" spans="1:26" customHeight="1" ht="15.75">
      <c r="A38" s="2" t="s">
        <v>47</v>
      </c>
      <c r="B38" s="2" t="s">
        <v>48</v>
      </c>
      <c r="C38" s="2" t="s">
        <v>21</v>
      </c>
      <c r="D38" s="2" t="s">
        <v>22</v>
      </c>
      <c r="E38" s="3">
        <v>29.0</v>
      </c>
      <c r="F38" s="3">
        <v>20.7</v>
      </c>
      <c r="G38" s="3">
        <v>20.7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f>SUM(E38:L38)</f>
        <v>70.40000000000001</v>
      </c>
    </row>
    <row r="39" spans="1:26" customHeight="1" ht="15.75">
      <c r="A39" s="2" t="s">
        <v>47</v>
      </c>
      <c r="B39" s="2" t="s">
        <v>48</v>
      </c>
      <c r="C39" s="2" t="s">
        <v>42</v>
      </c>
      <c r="D39" s="2" t="s">
        <v>20</v>
      </c>
      <c r="E39" s="3">
        <v>55.2</v>
      </c>
      <c r="F39" s="3">
        <v>17.2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f>SUM(E39:L39)</f>
        <v>72.40000000000001</v>
      </c>
    </row>
    <row r="40" spans="1:26" customHeight="1" ht="15.75">
      <c r="A40" s="2" t="s">
        <v>47</v>
      </c>
      <c r="B40" s="2" t="s">
        <v>48</v>
      </c>
      <c r="C40" s="2" t="s">
        <v>42</v>
      </c>
      <c r="D40" s="2" t="s">
        <v>26</v>
      </c>
      <c r="E40" s="3">
        <v>27.6</v>
      </c>
      <c r="F40" s="3">
        <v>34.5</v>
      </c>
      <c r="G40" s="3">
        <v>34.5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f>SUM(E40:L40)</f>
        <v>96.59999999999999</v>
      </c>
    </row>
    <row r="41" spans="1:26" customHeight="1" ht="15.75">
      <c r="A41" s="2" t="s">
        <v>47</v>
      </c>
      <c r="B41" s="2" t="s">
        <v>48</v>
      </c>
      <c r="C41" s="2" t="s">
        <v>49</v>
      </c>
      <c r="D41" s="2" t="s">
        <v>28</v>
      </c>
      <c r="E41" s="3">
        <v>34.5</v>
      </c>
      <c r="F41" s="3">
        <v>34.5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f>SUM(E41:L41)</f>
        <v>69</v>
      </c>
    </row>
    <row r="42" spans="1:26" customHeight="1" ht="15.75">
      <c r="A42" s="2" t="s">
        <v>47</v>
      </c>
      <c r="B42" s="2" t="s">
        <v>48</v>
      </c>
      <c r="C42" s="2" t="s">
        <v>49</v>
      </c>
      <c r="D42" s="2" t="s">
        <v>15</v>
      </c>
      <c r="E42" s="3">
        <v>34.5</v>
      </c>
      <c r="F42" s="3">
        <v>34.5</v>
      </c>
      <c r="G42" s="3">
        <v>80.0</v>
      </c>
      <c r="H42" s="3">
        <v>80.0</v>
      </c>
      <c r="I42" s="3">
        <v>80.0</v>
      </c>
      <c r="J42" s="3">
        <v>80.0</v>
      </c>
      <c r="K42" s="3">
        <v>80.0</v>
      </c>
      <c r="L42" s="3">
        <v>80.0</v>
      </c>
      <c r="M42" s="3">
        <f>SUM(E42:L42)</f>
        <v>549</v>
      </c>
    </row>
    <row r="43" spans="1:26" customHeight="1" ht="15.75">
      <c r="A43" s="2" t="s">
        <v>47</v>
      </c>
      <c r="B43" s="2" t="s">
        <v>50</v>
      </c>
      <c r="C43" s="2" t="s">
        <v>34</v>
      </c>
      <c r="D43" s="2" t="s">
        <v>15</v>
      </c>
      <c r="E43" s="3"/>
      <c r="F43" s="3"/>
      <c r="G43" s="3">
        <v>40.0</v>
      </c>
      <c r="H43" s="3">
        <v>40.0</v>
      </c>
      <c r="I43" s="3"/>
      <c r="J43" s="3"/>
      <c r="K43" s="3"/>
      <c r="L43" s="3"/>
      <c r="M43" s="3"/>
    </row>
    <row r="44" spans="1:26" customHeight="1" ht="15.75">
      <c r="A44" s="2" t="s">
        <v>51</v>
      </c>
      <c r="B44" s="2" t="s">
        <v>51</v>
      </c>
      <c r="C44" s="2" t="s">
        <v>18</v>
      </c>
      <c r="D44" s="2" t="s">
        <v>26</v>
      </c>
      <c r="E44" s="3">
        <v>13.8</v>
      </c>
      <c r="F44" s="3">
        <v>24.1</v>
      </c>
      <c r="G44" s="3"/>
      <c r="H44" s="3"/>
      <c r="I44" s="3">
        <v>0.0</v>
      </c>
      <c r="J44" s="3">
        <v>0.0</v>
      </c>
      <c r="K44" s="3">
        <v>0.0</v>
      </c>
      <c r="L44" s="3">
        <v>0.0</v>
      </c>
      <c r="M44" s="3">
        <f>SUM(E44:L44)</f>
        <v>37.90000000000001</v>
      </c>
    </row>
    <row r="45" spans="1:26" customHeight="1" ht="15.75">
      <c r="A45" s="2" t="s">
        <v>51</v>
      </c>
      <c r="B45" s="2" t="s">
        <v>51</v>
      </c>
      <c r="C45" s="2" t="s">
        <v>45</v>
      </c>
      <c r="D45" s="2" t="s">
        <v>46</v>
      </c>
      <c r="E45" s="3">
        <v>13.3</v>
      </c>
      <c r="F45" s="3">
        <v>13.3</v>
      </c>
      <c r="G45" s="3"/>
      <c r="H45" s="3"/>
      <c r="I45" s="3">
        <v>0.0</v>
      </c>
      <c r="J45" s="3">
        <v>0.0</v>
      </c>
      <c r="K45" s="3">
        <v>0.0</v>
      </c>
      <c r="L45" s="3">
        <v>0.0</v>
      </c>
      <c r="M45" s="3">
        <f>SUM(E45:L45)</f>
        <v>26.6</v>
      </c>
    </row>
    <row r="46" spans="1:26" customHeight="1" ht="15.75">
      <c r="A46" s="2" t="s">
        <v>51</v>
      </c>
      <c r="B46" s="2" t="s">
        <v>51</v>
      </c>
      <c r="C46" s="2" t="s">
        <v>21</v>
      </c>
      <c r="D46" s="2" t="s">
        <v>22</v>
      </c>
      <c r="E46" s="3">
        <v>89.7</v>
      </c>
      <c r="F46" s="3">
        <v>69.0</v>
      </c>
      <c r="G46" s="3">
        <v>60.0</v>
      </c>
      <c r="H46" s="3">
        <v>2.0</v>
      </c>
      <c r="I46" s="3">
        <v>2.0</v>
      </c>
      <c r="J46" s="3">
        <v>2.0</v>
      </c>
      <c r="K46" s="3">
        <v>2.0</v>
      </c>
      <c r="L46" s="3">
        <v>2.0</v>
      </c>
      <c r="M46" s="3">
        <f>SUM(E46:L46)</f>
        <v>228.69999999999999</v>
      </c>
    </row>
    <row r="47" spans="1:26" customHeight="1" ht="15.75">
      <c r="A47" s="2" t="s">
        <v>51</v>
      </c>
      <c r="B47" s="2" t="s">
        <v>51</v>
      </c>
      <c r="C47" s="2" t="s">
        <v>23</v>
      </c>
      <c r="D47" s="2" t="s">
        <v>15</v>
      </c>
      <c r="E47" s="3">
        <v>20.7</v>
      </c>
      <c r="F47" s="3">
        <v>20.7</v>
      </c>
      <c r="G47" s="3">
        <v>6.0</v>
      </c>
      <c r="H47" s="3">
        <v>20.7</v>
      </c>
      <c r="I47" s="3">
        <v>0.0</v>
      </c>
      <c r="J47" s="3">
        <v>0.0</v>
      </c>
      <c r="K47" s="3">
        <v>0.0</v>
      </c>
      <c r="L47" s="3">
        <v>0.0</v>
      </c>
      <c r="M47" s="3"/>
    </row>
    <row r="48" spans="1:26" customHeight="1" ht="15.75">
      <c r="A48" s="2" t="s">
        <v>51</v>
      </c>
      <c r="B48" s="2" t="s">
        <v>51</v>
      </c>
      <c r="C48" s="2" t="s">
        <v>21</v>
      </c>
      <c r="D48" s="2" t="s">
        <v>22</v>
      </c>
      <c r="E48" s="4"/>
      <c r="F48" s="4"/>
      <c r="G48" s="5">
        <v>2.0</v>
      </c>
      <c r="H48" s="5">
        <v>2.0</v>
      </c>
      <c r="I48" s="5">
        <v>2.0</v>
      </c>
      <c r="J48" s="5">
        <v>2.0</v>
      </c>
      <c r="K48" s="5">
        <v>2.0</v>
      </c>
      <c r="L48" s="5">
        <v>2.0</v>
      </c>
      <c r="M48" s="3">
        <f>SUM(E48:L48)</f>
        <v>12</v>
      </c>
    </row>
    <row r="49" spans="1:26" customHeight="1" ht="15.75">
      <c r="A49" s="2" t="s">
        <v>52</v>
      </c>
      <c r="B49" s="2" t="s">
        <v>52</v>
      </c>
      <c r="C49" s="2" t="s">
        <v>45</v>
      </c>
      <c r="D49" s="2" t="s">
        <v>28</v>
      </c>
      <c r="E49" s="3">
        <v>44.2</v>
      </c>
      <c r="F49" s="3">
        <v>44.2</v>
      </c>
      <c r="G49" s="3">
        <v>17.7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f>SUM(E49:L49)</f>
        <v>106.10000000000001</v>
      </c>
    </row>
    <row r="50" spans="1:26" customHeight="1" ht="15.75">
      <c r="A50" s="2" t="s">
        <v>52</v>
      </c>
      <c r="B50" s="2" t="s">
        <v>52</v>
      </c>
      <c r="C50" s="2" t="s">
        <v>45</v>
      </c>
      <c r="D50" s="2" t="s">
        <v>46</v>
      </c>
      <c r="E50" s="3">
        <v>22.1</v>
      </c>
      <c r="F50" s="3">
        <v>22.1</v>
      </c>
      <c r="G50" s="3">
        <v>8.8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f>SUM(E50:L50)</f>
        <v>53</v>
      </c>
    </row>
    <row r="51" spans="1:26" customHeight="1" ht="15.75">
      <c r="A51" s="2" t="s">
        <v>52</v>
      </c>
      <c r="B51" s="2" t="s">
        <v>52</v>
      </c>
      <c r="C51" s="2" t="s">
        <v>14</v>
      </c>
      <c r="D51" s="2"/>
      <c r="E51" s="3"/>
      <c r="F51" s="3"/>
      <c r="G51" s="3">
        <v>40.0</v>
      </c>
      <c r="H51" s="3"/>
      <c r="I51" s="3"/>
      <c r="J51" s="3"/>
      <c r="K51" s="3"/>
      <c r="L51" s="3"/>
      <c r="M51" s="3">
        <f>SUM(E51:L51)</f>
        <v>40</v>
      </c>
    </row>
    <row r="52" spans="1:26" customHeight="1" ht="15.75">
      <c r="A52" s="2" t="s">
        <v>52</v>
      </c>
      <c r="B52" s="2" t="s">
        <v>52</v>
      </c>
      <c r="C52" s="2" t="s">
        <v>23</v>
      </c>
      <c r="D52" s="2" t="s">
        <v>15</v>
      </c>
      <c r="E52" s="3">
        <v>20.7</v>
      </c>
      <c r="F52" s="3">
        <v>20.7</v>
      </c>
      <c r="G52" s="3">
        <v>8.3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/>
    </row>
    <row r="53" spans="1:26" customHeight="1" ht="15.75">
      <c r="A53" s="2" t="s">
        <v>53</v>
      </c>
      <c r="B53" s="2" t="s">
        <v>54</v>
      </c>
      <c r="C53" s="2" t="s">
        <v>19</v>
      </c>
      <c r="D53" s="2" t="s">
        <v>20</v>
      </c>
      <c r="E53" s="3">
        <v>48.3</v>
      </c>
      <c r="F53" s="3">
        <v>34.5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f>SUM(E53:L53)</f>
        <v>82.8</v>
      </c>
    </row>
    <row r="54" spans="1:26" customHeight="1" ht="15.75">
      <c r="A54" s="2" t="s">
        <v>53</v>
      </c>
      <c r="B54" s="2" t="s">
        <v>54</v>
      </c>
      <c r="C54" s="2" t="s">
        <v>27</v>
      </c>
      <c r="D54" s="2" t="s">
        <v>28</v>
      </c>
      <c r="E54" s="3">
        <v>34.5</v>
      </c>
      <c r="F54" s="3">
        <v>34.5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f>SUM(E54:L54)</f>
        <v>69</v>
      </c>
    </row>
    <row r="55" spans="1:26" customHeight="1" ht="15.75">
      <c r="A55" s="2" t="s">
        <v>53</v>
      </c>
      <c r="B55" s="2" t="s">
        <v>54</v>
      </c>
      <c r="C55" s="2" t="s">
        <v>27</v>
      </c>
      <c r="D55" s="2" t="s">
        <v>22</v>
      </c>
      <c r="E55" s="3">
        <v>69.0</v>
      </c>
      <c r="F55" s="3">
        <v>69.0</v>
      </c>
      <c r="G55" s="3">
        <v>30.0</v>
      </c>
      <c r="H55" s="3">
        <v>16.0</v>
      </c>
      <c r="I55" s="3"/>
      <c r="J55" s="3"/>
      <c r="K55" s="3"/>
      <c r="L55" s="3"/>
      <c r="M55" s="3">
        <f>SUM(E55:L55)</f>
        <v>184</v>
      </c>
    </row>
    <row r="56" spans="1:26" customHeight="1" ht="15.75">
      <c r="A56" s="6" t="s">
        <v>52</v>
      </c>
      <c r="B56" s="6" t="s">
        <v>52</v>
      </c>
      <c r="C56" s="6" t="s">
        <v>23</v>
      </c>
      <c r="D56" s="6" t="s">
        <v>55</v>
      </c>
      <c r="E56" s="7"/>
      <c r="F56" s="7"/>
      <c r="G56" s="7">
        <v>8.0</v>
      </c>
      <c r="H56" s="7">
        <v>8.0</v>
      </c>
      <c r="I56" s="7">
        <v>8.0</v>
      </c>
      <c r="J56" s="7">
        <v>8.0</v>
      </c>
      <c r="K56" s="7">
        <v>8.0</v>
      </c>
      <c r="L56" s="7">
        <v>8.0</v>
      </c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customHeight="1" ht="15.75">
      <c r="A57" s="6" t="s">
        <v>53</v>
      </c>
      <c r="B57" s="6" t="s">
        <v>54</v>
      </c>
      <c r="C57" s="6" t="s">
        <v>23</v>
      </c>
      <c r="D57" s="6" t="s">
        <v>55</v>
      </c>
      <c r="E57" s="7"/>
      <c r="F57" s="7"/>
      <c r="G57" s="7">
        <v>8.0</v>
      </c>
      <c r="H57" s="7">
        <v>8.0</v>
      </c>
      <c r="I57" s="7">
        <v>8.0</v>
      </c>
      <c r="J57" s="7">
        <v>8.0</v>
      </c>
      <c r="K57" s="7">
        <v>8.0</v>
      </c>
      <c r="L57" s="7">
        <v>8.0</v>
      </c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customHeight="1" ht="15.75">
      <c r="A58" s="2" t="s">
        <v>53</v>
      </c>
      <c r="B58" s="2" t="s">
        <v>54</v>
      </c>
      <c r="C58" s="2" t="s">
        <v>23</v>
      </c>
      <c r="D58" s="2" t="s">
        <v>15</v>
      </c>
      <c r="E58" s="3">
        <v>20.7</v>
      </c>
      <c r="F58" s="3">
        <v>20.7</v>
      </c>
      <c r="G58" s="3">
        <v>8.0</v>
      </c>
      <c r="H58" s="3">
        <v>8.0</v>
      </c>
      <c r="I58" s="3">
        <v>8.0</v>
      </c>
      <c r="J58" s="3">
        <v>8.0</v>
      </c>
      <c r="K58" s="3">
        <v>8.0</v>
      </c>
      <c r="L58" s="3">
        <v>8.0</v>
      </c>
      <c r="M58" s="3"/>
    </row>
    <row r="59" spans="1:26" customHeight="1" ht="15.75">
      <c r="A59" s="2" t="s">
        <v>56</v>
      </c>
      <c r="B59" s="2" t="s">
        <v>56</v>
      </c>
      <c r="C59" s="2" t="s">
        <v>38</v>
      </c>
      <c r="D59" s="2" t="s">
        <v>39</v>
      </c>
      <c r="E59" s="3">
        <v>69.0</v>
      </c>
      <c r="F59" s="3">
        <v>69.0</v>
      </c>
      <c r="G59" s="3">
        <v>69.0</v>
      </c>
      <c r="H59" s="3"/>
      <c r="I59" s="3">
        <v>0.0</v>
      </c>
      <c r="J59" s="3">
        <v>0.0</v>
      </c>
      <c r="K59" s="3">
        <v>0.0</v>
      </c>
      <c r="L59" s="3">
        <v>0.0</v>
      </c>
      <c r="M59" s="3">
        <f>SUM(E59:L59)</f>
        <v>207</v>
      </c>
    </row>
    <row r="60" spans="1:26" customHeight="1" ht="15.75">
      <c r="A60" s="2" t="s">
        <v>56</v>
      </c>
      <c r="B60" s="2" t="s">
        <v>56</v>
      </c>
      <c r="C60" s="2" t="s">
        <v>57</v>
      </c>
      <c r="D60" s="2" t="s">
        <v>20</v>
      </c>
      <c r="E60" s="3">
        <v>120.0</v>
      </c>
      <c r="F60" s="3">
        <v>120.0</v>
      </c>
      <c r="G60" s="3">
        <v>120.0</v>
      </c>
      <c r="H60" s="3">
        <v>120.0</v>
      </c>
      <c r="I60" s="3">
        <v>0.0</v>
      </c>
      <c r="J60" s="3">
        <v>0.0</v>
      </c>
      <c r="K60" s="3">
        <v>0.0</v>
      </c>
      <c r="L60" s="3">
        <v>0.0</v>
      </c>
      <c r="M60" s="3">
        <f>SUM(E60:L60)</f>
        <v>480</v>
      </c>
    </row>
    <row r="61" spans="1:26" customHeight="1" ht="15.75">
      <c r="A61" s="2" t="s">
        <v>56</v>
      </c>
      <c r="B61" s="2" t="s">
        <v>56</v>
      </c>
      <c r="C61" s="2" t="s">
        <v>34</v>
      </c>
      <c r="D61" s="2" t="s">
        <v>20</v>
      </c>
      <c r="E61" s="3">
        <v>103.5</v>
      </c>
      <c r="F61" s="3">
        <v>69.0</v>
      </c>
      <c r="G61" s="3">
        <v>120.0</v>
      </c>
      <c r="H61" s="3">
        <v>80.0</v>
      </c>
      <c r="I61" s="3">
        <v>0.0</v>
      </c>
      <c r="J61" s="3">
        <v>0.0</v>
      </c>
      <c r="K61" s="3">
        <v>0.0</v>
      </c>
      <c r="L61" s="3">
        <v>0.0</v>
      </c>
      <c r="M61" s="3">
        <f>SUM(E61:L61)</f>
        <v>372.5</v>
      </c>
    </row>
    <row r="62" spans="1:26" customHeight="1" ht="15.75">
      <c r="A62" s="2"/>
      <c r="B62" s="2"/>
      <c r="C62" s="2"/>
      <c r="D62" s="2"/>
      <c r="E62" s="4"/>
      <c r="F62" s="4"/>
      <c r="G62" s="5"/>
      <c r="H62" s="5"/>
      <c r="I62" s="5"/>
      <c r="J62" s="5"/>
      <c r="K62" s="5"/>
      <c r="L62" s="5"/>
      <c r="M62" s="3"/>
    </row>
    <row r="63" spans="1:26" customHeight="1" ht="15.75">
      <c r="A63" s="2"/>
      <c r="B63" s="2"/>
      <c r="C63" s="2"/>
      <c r="D63" s="2"/>
      <c r="G63" s="9"/>
      <c r="H63" s="9"/>
      <c r="I63" s="9"/>
      <c r="J63" s="9"/>
      <c r="K63" s="9"/>
      <c r="L63" s="9"/>
      <c r="M63" s="10"/>
    </row>
    <row r="64" spans="1:26" customHeight="1" ht="15.75">
      <c r="A64" s="11" t="s">
        <v>58</v>
      </c>
      <c r="B64" s="11"/>
      <c r="C64" s="11"/>
      <c r="D64" s="11"/>
      <c r="E64" s="12">
        <f>SUM(E2:E61)</f>
        <v>1429.70000000000027</v>
      </c>
      <c r="F64" s="12">
        <f>SUM(F2:F61)</f>
        <v>1469.80000000000018</v>
      </c>
      <c r="G64" s="12">
        <f>SUM(G2:G61)</f>
        <v>1440.40000000000009</v>
      </c>
      <c r="H64" s="12">
        <f>SUM(H2:H61)</f>
        <v>1104.099999999999909</v>
      </c>
      <c r="I64" s="12">
        <f>SUM(I2:I61)</f>
        <v>846.39999999999998</v>
      </c>
      <c r="J64" s="12">
        <f>SUM(J2:J61)</f>
        <v>741.39999999999998</v>
      </c>
      <c r="K64" s="12">
        <f>SUM(K2:K61)</f>
        <v>684.39999999999998</v>
      </c>
      <c r="L64" s="12">
        <f>SUM(L2:L61)</f>
        <v>712.39999999999998</v>
      </c>
      <c r="M64" s="12">
        <f>SUM(M2:M61)</f>
        <v>7925.40000000000055</v>
      </c>
    </row>
    <row r="65" spans="1:26" customHeight="1" ht="15.75">
      <c r="A65" s="2"/>
      <c r="B65" s="2"/>
      <c r="C65" s="2"/>
      <c r="D65" s="2"/>
      <c r="E65" s="4"/>
      <c r="F65" s="4"/>
      <c r="G65" s="5"/>
      <c r="H65" s="5"/>
      <c r="I65" s="5"/>
      <c r="J65" s="5"/>
      <c r="K65" s="5"/>
      <c r="L65" s="5"/>
      <c r="M65" s="4"/>
    </row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  <row r="1001" spans="1:26" customHeight="1" ht="15.75"/>
    <row r="1002" spans="1:26" customHeight="1" ht="15.75"/>
  </sheetData>
  <autoFilter ref="A1:M66"/>
  <printOptions gridLines="false" gridLinesSet="true"/>
  <pageMargins left="0.75" right="0.75" top="1" bottom="1" header="0" footer="0"/>
  <pageSetup paperSize="9" orientation="portrait" scale="100" fitToHeight="1" fitToWidth="1" pageOrder="downThenOver"/>
  <drawing r:id="rId2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Z1000"/>
  <sheetViews>
    <sheetView tabSelected="1" workbookViewId="0" showGridLines="true" showRowColHeaders="1">
      <pane xSplit="2" ySplit="1" activePane="bottomRight" state="frozen" topLeftCell="C2"/>
      <selection pane="bottomRight" activeCell="F5" sqref="F5"/>
    </sheetView>
  </sheetViews>
  <sheetFormatPr customHeight="true" defaultRowHeight="15" defaultColWidth="14.43" outlineLevelRow="0" outlineLevelCol="0"/>
  <cols>
    <col min="1" max="1" width="20" customWidth="true" style="0"/>
    <col min="2" max="2" width="17.29" customWidth="true" style="0"/>
    <col min="3" max="3" width="14.71" customWidth="true" style="0"/>
    <col min="4" max="4" width="15.57" customWidth="true" style="0"/>
    <col min="6" max="6" width="13.71" customWidth="true" style="0"/>
    <col min="7" max="7" width="14" customWidth="true" style="0"/>
    <col min="8" max="8" width="11" customWidth="true" style="0"/>
    <col min="9" max="9" width="11" customWidth="true" style="0"/>
    <col min="10" max="10" width="11" customWidth="true" style="0"/>
    <col min="11" max="11" width="8.71" customWidth="true" style="0"/>
    <col min="12" max="12" width="8.71" customWidth="true" style="0"/>
    <col min="13" max="13" width="8.71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>
      <c r="A1" s="1" t="s">
        <v>2</v>
      </c>
      <c r="B1" s="1" t="s">
        <v>59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26">
      <c r="A2" s="13" t="s">
        <v>18</v>
      </c>
      <c r="B2" s="13">
        <v>138.0</v>
      </c>
      <c r="C2" s="9">
        <f>SUMIF('Alocări'!$C$2:$C$61,$A2,'Alocări'!E$2:E$61)</f>
        <v>82.8</v>
      </c>
      <c r="D2" s="9">
        <f>SUMIF('Alocări'!$C$2:$C$61,$A2,'Alocări'!F$2:F$61)</f>
        <v>117.19999999999999</v>
      </c>
      <c r="E2" s="5">
        <f>SUMIF('Alocări'!$C$2:$C$61,$A2,'Alocări'!G$2:G$61)</f>
        <v>61.7</v>
      </c>
      <c r="F2" s="5">
        <f>SUMIF('Alocări'!$C$2:$C$61,$A2,'Alocări'!H$2:H$61)</f>
        <v>81.7</v>
      </c>
      <c r="G2" s="5">
        <f>SUMIF('Alocări'!$C$2:$C$61,$A2,'Alocări'!I$2:I$61)</f>
        <v>81.7</v>
      </c>
      <c r="H2" s="9">
        <f>SUMIF('Alocări'!$C$2:$C$61,$A2,'Alocări'!J$2:J$61)</f>
        <v>51.7</v>
      </c>
      <c r="I2" s="9">
        <f>SUMIF('Alocări'!$C$2:$C$61,$A2,'Alocări'!K$2:K$61)</f>
        <v>51.7</v>
      </c>
      <c r="J2" s="9">
        <f>SUMIF('Alocări'!$C$2:$C$61,$A2,'Alocări'!L$2:L$61)</f>
        <v>51.7</v>
      </c>
    </row>
    <row r="3" spans="1:26">
      <c r="A3" s="13" t="s">
        <v>19</v>
      </c>
      <c r="B3" s="13">
        <v>138.0</v>
      </c>
      <c r="C3" s="9">
        <f>SUMIF('Alocări'!$C$2:$C$61,$A3,'Alocări'!E$2:E$61)</f>
        <v>103.5</v>
      </c>
      <c r="D3" s="9">
        <f>SUMIF('Alocări'!$C$2:$C$61,$A3,'Alocări'!F$2:F$61)</f>
        <v>124.2</v>
      </c>
      <c r="E3" s="5">
        <f>SUMIF('Alocări'!$C$2:$C$61,$A3,'Alocări'!G$2:G$61)</f>
        <v>45.7</v>
      </c>
      <c r="F3" s="5">
        <f>SUMIF('Alocări'!$C$2:$C$61,$A3,'Alocări'!H$2:H$61)</f>
        <v>65.7</v>
      </c>
      <c r="G3" s="5">
        <f>SUMIF('Alocări'!$C$2:$C$61,$A3,'Alocări'!I$2:I$61)</f>
        <v>65.7</v>
      </c>
      <c r="H3" s="9">
        <f>SUMIF('Alocări'!$C$2:$C$61,$A3,'Alocări'!J$2:J$61)</f>
        <v>65.7</v>
      </c>
      <c r="I3" s="9">
        <f>SUMIF('Alocări'!$C$2:$C$61,$A3,'Alocări'!K$2:K$61)</f>
        <v>65.7</v>
      </c>
      <c r="J3" s="9">
        <f>SUMIF('Alocări'!$C$2:$C$61,$A3,'Alocări'!L$2:L$61)</f>
        <v>65.7</v>
      </c>
    </row>
    <row r="4" spans="1:26">
      <c r="A4" s="13" t="s">
        <v>45</v>
      </c>
      <c r="B4" s="13">
        <v>118.0</v>
      </c>
      <c r="C4" s="9">
        <f>SUMIF('Alocări'!$C$2:$C$61,$A4,'Alocări'!E$2:E$61)</f>
        <v>88.40000000000001</v>
      </c>
      <c r="D4" s="9">
        <f>SUMIF('Alocări'!$C$2:$C$61,$A4,'Alocări'!F$2:F$61)</f>
        <v>79.59999999999999</v>
      </c>
      <c r="E4" s="5">
        <f>SUMIF('Alocări'!$C$2:$C$61,$A4,'Alocări'!G$2:G$61)</f>
        <v>34.5</v>
      </c>
      <c r="F4" s="5">
        <f>SUMIF('Alocări'!$C$2:$C$61,$A4,'Alocări'!H$2:H$61)</f>
        <v>8</v>
      </c>
      <c r="G4" s="5">
        <f>SUMIF('Alocări'!$C$2:$C$61,$A4,'Alocări'!I$2:I$61)</f>
        <v>8</v>
      </c>
      <c r="H4" s="9">
        <f>SUMIF('Alocări'!$C$2:$C$61,$A4,'Alocări'!J$2:J$61)</f>
        <v>8</v>
      </c>
      <c r="I4" s="9">
        <f>SUMIF('Alocări'!$C$2:$C$61,$A4,'Alocări'!K$2:K$61)</f>
        <v>8</v>
      </c>
      <c r="J4" s="9">
        <f>SUMIF('Alocări'!$C$2:$C$61,$A4,'Alocări'!L$2:L$61)</f>
        <v>8</v>
      </c>
    </row>
    <row r="5" spans="1:26">
      <c r="A5" s="13" t="s">
        <v>38</v>
      </c>
      <c r="B5" s="13">
        <v>138.0</v>
      </c>
      <c r="C5" s="9">
        <f>SUMIF('Alocări'!$C$2:$C$61,$A5,'Alocări'!E$2:E$61)</f>
        <v>82.8</v>
      </c>
      <c r="D5" s="9">
        <f>SUMIF('Alocări'!$C$2:$C$61,$A5,'Alocări'!F$2:F$61)</f>
        <v>103.5</v>
      </c>
      <c r="E5" s="5">
        <v>85</v>
      </c>
      <c r="F5" s="5">
        <v>0</v>
      </c>
      <c r="G5" s="5">
        <f>SUMIF('Alocări'!$C$2:$C$61,$A5,'Alocări'!I$2:I$61)</f>
        <v>0</v>
      </c>
      <c r="H5" s="9">
        <f>SUMIF('Alocări'!$C$2:$C$61,$A5,'Alocări'!J$2:J$61)</f>
        <v>0</v>
      </c>
      <c r="I5" s="9">
        <f>SUMIF('Alocări'!$C$2:$C$61,$A5,'Alocări'!K$2:K$61)</f>
        <v>0</v>
      </c>
      <c r="J5" s="9">
        <f>SUMIF('Alocări'!$C$2:$C$61,$A5,'Alocări'!L$2:L$61)</f>
        <v>0</v>
      </c>
    </row>
    <row r="6" spans="1:26">
      <c r="A6" s="13" t="s">
        <v>33</v>
      </c>
      <c r="B6" s="13">
        <v>160.0</v>
      </c>
      <c r="C6" s="9">
        <f>SUMIF('Alocări'!$C$2:$C$61,$A6,'Alocări'!E$2:E$61)</f>
        <v>40</v>
      </c>
      <c r="D6" s="9">
        <f>SUMIF('Alocări'!$C$2:$C$61,$A6,'Alocări'!F$2:F$61)</f>
        <v>80</v>
      </c>
      <c r="E6" s="5">
        <f>SUMIF('Alocări'!$C$2:$C$61,$A6,'Alocări'!G$2:G$61)</f>
        <v>80</v>
      </c>
      <c r="F6" s="5">
        <f>SUMIF('Alocări'!$C$2:$C$61,$A6,'Alocări'!H$2:H$61)</f>
        <v>8</v>
      </c>
      <c r="G6" s="5">
        <f>SUMIF('Alocări'!$C$2:$C$61,$A6,'Alocări'!I$2:I$61)</f>
        <v>8</v>
      </c>
      <c r="H6" s="9">
        <f>SUMIF('Alocări'!$C$2:$C$61,$A6,'Alocări'!J$2:J$61)</f>
        <v>8</v>
      </c>
      <c r="I6" s="9">
        <f>SUMIF('Alocări'!$C$2:$C$61,$A6,'Alocări'!K$2:K$61)</f>
        <v>8</v>
      </c>
      <c r="J6" s="9">
        <f>SUMIF('Alocări'!$C$2:$C$61,$A6,'Alocări'!L$2:L$61)</f>
        <v>8</v>
      </c>
    </row>
    <row r="7" spans="1:26">
      <c r="A7" s="13" t="s">
        <v>27</v>
      </c>
      <c r="B7" s="13">
        <v>138.0</v>
      </c>
      <c r="C7" s="9">
        <f>SUMIF('Alocări'!$C$2:$C$61,$A7,'Alocări'!E$2:E$61)</f>
        <v>131.099999999999994</v>
      </c>
      <c r="D7" s="9">
        <f>SUMIF('Alocări'!$C$2:$C$61,$A7,'Alocări'!F$2:F$61)</f>
        <v>131.099999999999994</v>
      </c>
      <c r="E7" s="5">
        <f>SUMIF('Alocări'!$C$2:$C$61,$A7,'Alocări'!G$2:G$61)</f>
        <v>107.59999999999999</v>
      </c>
      <c r="F7" s="5">
        <f>SUMIF('Alocări'!$C$2:$C$61,$A7,'Alocări'!H$2:H$61)</f>
        <v>122.3</v>
      </c>
      <c r="G7" s="5">
        <f>SUMIF('Alocări'!$C$2:$C$61,$A7,'Alocări'!I$2:I$61)</f>
        <v>106.3</v>
      </c>
      <c r="H7" s="9">
        <f>SUMIF('Alocări'!$C$2:$C$61,$A7,'Alocări'!J$2:J$61)</f>
        <v>106.3</v>
      </c>
      <c r="I7" s="9">
        <f>SUMIF('Alocări'!$C$2:$C$61,$A7,'Alocări'!K$2:K$61)</f>
        <v>106.3</v>
      </c>
      <c r="J7" s="9">
        <f>SUMIF('Alocări'!$C$2:$C$61,$A7,'Alocări'!L$2:L$61)</f>
        <v>106.3</v>
      </c>
    </row>
    <row r="8" spans="1:26">
      <c r="A8" s="13" t="s">
        <v>57</v>
      </c>
      <c r="B8" s="13">
        <v>108.0</v>
      </c>
      <c r="C8" s="9">
        <f>SUMIF('Alocări'!$C$2:$C$61,$A8,'Alocări'!E$2:E$61)</f>
        <v>120</v>
      </c>
      <c r="D8" s="9">
        <f>SUMIF('Alocări'!$C$2:$C$61,$A8,'Alocări'!F$2:F$61)</f>
        <v>120</v>
      </c>
      <c r="E8" s="5">
        <f>SUMIF('Alocări'!$C$2:$C$61,$A8,'Alocări'!G$2:G$61)</f>
        <v>120</v>
      </c>
      <c r="F8" s="5">
        <f>SUMIF('Alocări'!$C$2:$C$61,$A8,'Alocări'!H$2:H$61)</f>
        <v>120</v>
      </c>
      <c r="G8" s="5">
        <f>SUMIF('Alocări'!$C$2:$C$61,$A8,'Alocări'!I$2:I$61)</f>
        <v>0</v>
      </c>
      <c r="H8" s="9">
        <f>SUMIF('Alocări'!$C$2:$C$61,$A8,'Alocări'!J$2:J$61)</f>
        <v>0</v>
      </c>
      <c r="I8" s="9">
        <f>SUMIF('Alocări'!$C$2:$C$61,$A8,'Alocări'!K$2:K$61)</f>
        <v>0</v>
      </c>
      <c r="J8" s="9">
        <f>SUMIF('Alocări'!$C$2:$C$61,$A8,'Alocări'!L$2:L$61)</f>
        <v>0</v>
      </c>
    </row>
    <row r="9" spans="1:26">
      <c r="A9" s="13" t="s">
        <v>40</v>
      </c>
      <c r="B9" s="13">
        <v>138.0</v>
      </c>
      <c r="C9" s="9">
        <f>SUMIF('Alocări'!$C$2:$C$61,$A9,'Alocări'!E$2:E$61)</f>
        <v>132.5</v>
      </c>
      <c r="D9" s="9">
        <f>SUMIF('Alocări'!$C$2:$C$61,$A9,'Alocări'!F$2:F$61)</f>
        <v>127.7</v>
      </c>
      <c r="E9" s="5">
        <f>SUMIF('Alocări'!$C$2:$C$61,$A9,'Alocări'!G$2:G$61)</f>
        <v>114</v>
      </c>
      <c r="F9" s="5">
        <f>SUMIF('Alocări'!$C$2:$C$61,$A9,'Alocări'!H$2:H$61)</f>
        <v>114</v>
      </c>
      <c r="G9" s="5">
        <f>SUMIF('Alocări'!$C$2:$C$61,$A9,'Alocări'!I$2:I$61)</f>
        <v>114</v>
      </c>
      <c r="H9" s="9">
        <f>SUMIF('Alocări'!$C$2:$C$61,$A9,'Alocări'!J$2:J$61)</f>
        <v>108</v>
      </c>
      <c r="I9" s="9">
        <f>SUMIF('Alocări'!$C$2:$C$61,$A9,'Alocări'!K$2:K$61)</f>
        <v>108</v>
      </c>
      <c r="J9" s="9">
        <f>SUMIF('Alocări'!$C$2:$C$61,$A9,'Alocări'!L$2:L$61)</f>
        <v>108</v>
      </c>
    </row>
    <row r="10" spans="1:26">
      <c r="A10" s="13" t="s">
        <v>21</v>
      </c>
      <c r="B10" s="13">
        <v>138.0</v>
      </c>
      <c r="C10" s="9">
        <f>SUMIF('Alocări'!$C$2:$C$61,$A10,'Alocări'!E$2:E$61)</f>
        <v>138</v>
      </c>
      <c r="D10" s="9">
        <f>SUMIF('Alocări'!$C$2:$C$61,$A10,'Alocări'!F$2:F$61)</f>
        <v>138</v>
      </c>
      <c r="E10" s="5">
        <f>SUMIF('Alocări'!$C$2:$C$61,$A10,'Alocări'!G$2:G$61)</f>
        <v>185.69999999999999</v>
      </c>
      <c r="F10" s="5">
        <f>SUMIF('Alocări'!$C$2:$C$61,$A10,'Alocări'!H$2:H$61)</f>
        <v>120</v>
      </c>
      <c r="G10" s="5">
        <f>SUMIF('Alocări'!$C$2:$C$61,$A10,'Alocări'!I$2:I$61)</f>
        <v>167</v>
      </c>
      <c r="H10" s="9">
        <f>SUMIF('Alocări'!$C$2:$C$61,$A10,'Alocări'!J$2:J$61)</f>
        <v>71</v>
      </c>
      <c r="I10" s="9">
        <f>SUMIF('Alocări'!$C$2:$C$61,$A10,'Alocări'!K$2:K$61)</f>
        <v>71</v>
      </c>
      <c r="J10" s="9">
        <f>SUMIF('Alocări'!$C$2:$C$61,$A10,'Alocări'!L$2:L$61)</f>
        <v>71</v>
      </c>
    </row>
    <row r="11" spans="1:26">
      <c r="A11" s="13" t="s">
        <v>23</v>
      </c>
      <c r="B11" s="13">
        <v>138.0</v>
      </c>
      <c r="C11" s="9">
        <f>SUMIF('Alocări'!$C$2:$C$61,$A11,'Alocări'!E$2:E$61)</f>
        <v>62.099999999999994</v>
      </c>
      <c r="D11" s="9">
        <f>SUMIF('Alocări'!$C$2:$C$61,$A11,'Alocări'!F$2:F$61)</f>
        <v>62.099999999999994</v>
      </c>
      <c r="E11" s="5">
        <f>SUMIF('Alocări'!$C$2:$C$61,$A11,'Alocări'!G$2:G$61)</f>
        <v>58.3</v>
      </c>
      <c r="F11" s="5">
        <f>SUMIF('Alocări'!$C$2:$C$61,$A11,'Alocări'!H$2:H$61)</f>
        <v>64.7</v>
      </c>
      <c r="G11" s="5">
        <f>SUMIF('Alocări'!$C$2:$C$61,$A11,'Alocări'!I$2:I$61)</f>
        <v>44</v>
      </c>
      <c r="H11" s="9">
        <f>SUMIF('Alocări'!$C$2:$C$61,$A11,'Alocări'!J$2:J$61)</f>
        <v>44</v>
      </c>
      <c r="I11" s="9">
        <f>SUMIF('Alocări'!$C$2:$C$61,$A11,'Alocări'!K$2:K$61)</f>
        <v>44</v>
      </c>
      <c r="J11" s="9">
        <f>SUMIF('Alocări'!$C$2:$C$61,$A11,'Alocări'!L$2:L$61)</f>
        <v>44</v>
      </c>
    </row>
    <row r="12" spans="1:26">
      <c r="A12" s="13" t="s">
        <v>29</v>
      </c>
      <c r="B12" s="13">
        <v>138.0</v>
      </c>
      <c r="C12" s="9">
        <f>SUMIF('Alocări'!$C$2:$C$61,$A12,'Alocări'!E$2:E$61)</f>
        <v>20.7</v>
      </c>
      <c r="D12" s="9">
        <f>SUMIF('Alocări'!$C$2:$C$61,$A12,'Alocări'!F$2:F$61)</f>
        <v>20.7</v>
      </c>
      <c r="E12" s="5">
        <f>SUMIF('Alocări'!$C$2:$C$61,$A12,'Alocări'!G$2:G$61)</f>
        <v>20.7</v>
      </c>
      <c r="F12" s="5">
        <f>SUMIF('Alocări'!$C$2:$C$61,$A12,'Alocări'!H$2:H$61)</f>
        <v>0</v>
      </c>
      <c r="G12" s="5">
        <f>SUMIF('Alocări'!$C$2:$C$61,$A12,'Alocări'!I$2:I$61)</f>
        <v>0</v>
      </c>
      <c r="H12" s="9">
        <f>SUMIF('Alocări'!$C$2:$C$61,$A12,'Alocări'!J$2:J$61)</f>
        <v>0</v>
      </c>
      <c r="I12" s="9">
        <f>SUMIF('Alocări'!$C$2:$C$61,$A12,'Alocări'!K$2:K$61)</f>
        <v>0</v>
      </c>
      <c r="J12" s="9">
        <f>SUMIF('Alocări'!$C$2:$C$61,$A12,'Alocări'!L$2:L$61)</f>
        <v>0</v>
      </c>
    </row>
    <row r="13" spans="1:26">
      <c r="A13" s="13" t="s">
        <v>42</v>
      </c>
      <c r="B13" s="13">
        <v>138.0</v>
      </c>
      <c r="C13" s="9">
        <f>SUMIF('Alocări'!$C$2:$C$61,$A13,'Alocări'!E$2:E$61)</f>
        <v>96.59999999999999</v>
      </c>
      <c r="D13" s="9">
        <f>SUMIF('Alocări'!$C$2:$C$61,$A13,'Alocări'!F$2:F$61)</f>
        <v>138</v>
      </c>
      <c r="E13" s="5">
        <f>SUMIF('Alocări'!$C$2:$C$61,$A13,'Alocări'!G$2:G$61)</f>
        <v>64.5</v>
      </c>
      <c r="F13" s="5">
        <f>SUMIF('Alocări'!$C$2:$C$61,$A13,'Alocări'!H$2:H$61)</f>
        <v>30</v>
      </c>
      <c r="G13" s="5">
        <f>SUMIF('Alocări'!$C$2:$C$61,$A13,'Alocări'!I$2:I$61)</f>
        <v>30</v>
      </c>
      <c r="H13" s="9">
        <f>SUMIF('Alocări'!$C$2:$C$61,$A13,'Alocări'!J$2:J$61)</f>
        <v>29</v>
      </c>
      <c r="I13" s="9">
        <f>SUMIF('Alocări'!$C$2:$C$61,$A13,'Alocări'!K$2:K$61)</f>
        <v>0</v>
      </c>
      <c r="J13" s="9">
        <f>SUMIF('Alocări'!$C$2:$C$61,$A13,'Alocări'!L$2:L$61)</f>
        <v>0</v>
      </c>
    </row>
    <row r="14" spans="1:26">
      <c r="A14" s="13" t="s">
        <v>49</v>
      </c>
      <c r="B14" s="13">
        <v>138.0</v>
      </c>
      <c r="C14" s="9">
        <f>SUMIF('Alocări'!$C$2:$C$61,$A14,'Alocări'!E$2:E$61)</f>
        <v>69</v>
      </c>
      <c r="D14" s="9">
        <f>SUMIF('Alocări'!$C$2:$C$61,$A14,'Alocări'!F$2:F$61)</f>
        <v>69</v>
      </c>
      <c r="E14" s="5">
        <f>SUMIF('Alocări'!$C$2:$C$61,$A14,'Alocări'!G$2:G$61)</f>
        <v>80</v>
      </c>
      <c r="F14" s="5">
        <f>SUMIF('Alocări'!$C$2:$C$61,$A14,'Alocări'!H$2:H$61)</f>
        <v>80</v>
      </c>
      <c r="G14" s="5">
        <f>SUMIF('Alocări'!$C$2:$C$61,$A14,'Alocări'!I$2:I$61)</f>
        <v>80</v>
      </c>
      <c r="H14" s="9">
        <f>SUMIF('Alocări'!$C$2:$C$61,$A14,'Alocări'!J$2:J$61)</f>
        <v>80</v>
      </c>
      <c r="I14" s="9">
        <f>SUMIF('Alocări'!$C$2:$C$61,$A14,'Alocări'!K$2:K$61)</f>
        <v>80</v>
      </c>
      <c r="J14" s="9">
        <f>SUMIF('Alocări'!$C$2:$C$61,$A14,'Alocări'!L$2:L$61)</f>
        <v>80</v>
      </c>
    </row>
    <row r="15" spans="1:26">
      <c r="A15" s="13" t="s">
        <v>34</v>
      </c>
      <c r="B15" s="13">
        <v>138.0</v>
      </c>
      <c r="C15" s="9">
        <f>SUMIF('Alocări'!$C$2:$C$61,$A15,'Alocări'!E$2:E$61)</f>
        <v>138</v>
      </c>
      <c r="D15" s="9">
        <f>SUMIF('Alocări'!$C$2:$C$61,$A15,'Alocări'!F$2:F$61)</f>
        <v>138</v>
      </c>
      <c r="E15" s="5">
        <f>SUMIF('Alocări'!$C$2:$C$61,$A15,'Alocări'!G$2:G$61)</f>
        <v>229</v>
      </c>
      <c r="F15" s="5">
        <f>SUMIF('Alocări'!$C$2:$C$61,$A15,'Alocări'!H$2:H$61)</f>
        <v>176</v>
      </c>
      <c r="G15" s="5">
        <f>SUMIF('Alocări'!$C$2:$C$61,$A15,'Alocări'!I$2:I$61)</f>
        <v>28</v>
      </c>
      <c r="H15" s="9">
        <f>SUMIF('Alocări'!$C$2:$C$61,$A15,'Alocări'!J$2:J$61)</f>
        <v>56</v>
      </c>
      <c r="I15" s="9">
        <f>SUMIF('Alocări'!$C$2:$C$61,$A15,'Alocări'!K$2:K$61)</f>
        <v>28</v>
      </c>
      <c r="J15" s="9">
        <f>SUMIF('Alocări'!$C$2:$C$61,$A15,'Alocări'!L$2:L$61)</f>
        <v>56</v>
      </c>
    </row>
    <row r="16" spans="1:26">
      <c r="A16" s="13" t="s">
        <v>14</v>
      </c>
      <c r="B16" s="13">
        <v>138.0</v>
      </c>
      <c r="C16" s="9">
        <f>SUMIF('Alocări'!$C$2:$C$61,$A16,'Alocări'!E$2:E$61)</f>
        <v>124.2</v>
      </c>
      <c r="D16" s="9">
        <f>SUMIF('Alocări'!$C$2:$C$61,$A16,'Alocări'!F$2:F$61)</f>
        <v>20.7</v>
      </c>
      <c r="E16" s="5">
        <f>SUMIF('Alocări'!$C$2:$C$61,$A16,'Alocări'!G$2:G$61)</f>
        <v>153.69999999999999</v>
      </c>
      <c r="F16" s="5">
        <f>SUMIF('Alocări'!$C$2:$C$61,$A16,'Alocări'!H$2:H$61)</f>
        <v>113.7</v>
      </c>
      <c r="G16" s="5">
        <f>SUMIF('Alocări'!$C$2:$C$61,$A16,'Alocări'!I$2:I$61)</f>
        <v>113.7</v>
      </c>
      <c r="H16" s="9">
        <f>SUMIF('Alocări'!$C$2:$C$61,$A16,'Alocări'!J$2:J$61)</f>
        <v>113.7</v>
      </c>
      <c r="I16" s="9">
        <f>SUMIF('Alocări'!$C$2:$C$61,$A16,'Alocări'!K$2:K$61)</f>
        <v>113.7</v>
      </c>
      <c r="J16" s="9">
        <f>SUMIF('Alocări'!$C$2:$C$61,$A16,'Alocări'!L$2:L$61)</f>
        <v>113.7</v>
      </c>
    </row>
    <row r="17" spans="1:26">
      <c r="E17" s="14"/>
      <c r="F17" s="14"/>
      <c r="G17" s="14"/>
    </row>
    <row r="18" spans="1:26">
      <c r="E18" s="14"/>
      <c r="F18" s="14"/>
      <c r="G18" s="14"/>
    </row>
    <row r="19" spans="1:26">
      <c r="E19" s="15"/>
    </row>
    <row r="21" spans="1:26" customHeight="1" ht="15.75"/>
    <row r="22" spans="1:26" customHeight="1" ht="15.75"/>
    <row r="23" spans="1:26" customHeight="1" ht="15.75"/>
    <row r="24" spans="1:26" customHeight="1" ht="15.75"/>
    <row r="25" spans="1:26" customHeight="1" ht="15.75"/>
    <row r="26" spans="1:26" customHeight="1" ht="15.75"/>
    <row r="27" spans="1:26" customHeight="1" ht="15.75"/>
    <row r="28" spans="1:26" customHeight="1" ht="15.75"/>
    <row r="29" spans="1:26" customHeight="1" ht="15.75"/>
    <row r="30" spans="1:26" customHeight="1" ht="15.75"/>
    <row r="31" spans="1:26" customHeight="1" ht="15.75"/>
    <row r="32" spans="1:26" customHeight="1" ht="15.75"/>
    <row r="33" spans="1:26" customHeight="1" ht="15.75"/>
    <row r="34" spans="1:26" customHeight="1" ht="15.75"/>
    <row r="35" spans="1:26" customHeight="1" ht="15.75"/>
    <row r="36" spans="1:26" customHeight="1" ht="15.75"/>
    <row r="37" spans="1:26" customHeight="1" ht="15.75"/>
    <row r="38" spans="1:26" customHeight="1" ht="15.75"/>
    <row r="39" spans="1:26" customHeight="1" ht="15.75"/>
    <row r="40" spans="1:26" customHeight="1" ht="15.75"/>
    <row r="41" spans="1:26" customHeight="1" ht="15.75"/>
    <row r="42" spans="1:26" customHeight="1" ht="15.75"/>
    <row r="43" spans="1:26" customHeight="1" ht="15.75"/>
    <row r="44" spans="1:26" customHeight="1" ht="15.75"/>
    <row r="45" spans="1:26" customHeight="1" ht="15.75"/>
    <row r="46" spans="1:26" customHeight="1" ht="15.75"/>
    <row r="47" spans="1:26" customHeight="1" ht="15.75"/>
    <row r="48" spans="1:26" customHeight="1" ht="15.75"/>
    <row r="49" spans="1:26" customHeight="1" ht="15.75"/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printOptions gridLines="false" gridLinesSet="true"/>
  <pageMargins left="0.75" right="0.75" top="1" bottom="1" header="0" footer="0"/>
  <pageSetup paperSize="9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Alocări</vt:lpstr>
      <vt:lpstr>Pe persoană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2026-07-03T10:38:53+00:00</dcterms:created>
  <dcterms:modified xsi:type="dcterms:W3CDTF">2026-07-10T18:50:54+00:00</dcterms:modified>
  <dc:title/>
  <dc:description/>
  <dc:subject/>
  <cp:keywords/>
  <cp:category/>
</cp:coreProperties>
</file>